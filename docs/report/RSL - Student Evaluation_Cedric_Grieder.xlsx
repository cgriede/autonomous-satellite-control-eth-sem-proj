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edri\code\archive\autonomous-satellite-control-eth-sem-proj\docs\report\"/>
    </mc:Choice>
  </mc:AlternateContent>
  <xr:revisionPtr revIDLastSave="0" documentId="8_{BB09C1DC-70A5-4467-BB72-7DE1F3955A9D}" xr6:coauthVersionLast="47" xr6:coauthVersionMax="47" xr10:uidLastSave="{00000000-0000-0000-0000-000000000000}"/>
  <bookViews>
    <workbookView xWindow="2268" yWindow="2268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Qj+h87b2orycJ7KTyDG2bC/3i3xxcn8W3Mdp/soZYI="/>
    </ext>
  </extLst>
</workbook>
</file>

<file path=xl/calcChain.xml><?xml version="1.0" encoding="utf-8"?>
<calcChain xmlns="http://schemas.openxmlformats.org/spreadsheetml/2006/main">
  <c r="G40" i="1" l="1"/>
  <c r="E36" i="1"/>
  <c r="E30" i="1"/>
  <c r="E25" i="1"/>
  <c r="E21" i="1"/>
  <c r="I36" i="1" l="1"/>
  <c r="G36" i="1"/>
  <c r="H36" i="1"/>
  <c r="I30" i="1"/>
  <c r="H30" i="1"/>
  <c r="G30" i="1"/>
  <c r="E38" i="1"/>
  <c r="I25" i="1"/>
  <c r="G25" i="1"/>
  <c r="H25" i="1"/>
  <c r="H21" i="1"/>
  <c r="I21" i="1"/>
  <c r="I38" i="1" s="1"/>
  <c r="G21" i="1"/>
  <c r="H38" i="1" l="1"/>
  <c r="G38" i="1"/>
  <c r="G42" i="1" s="1"/>
</calcChain>
</file>

<file path=xl/sharedStrings.xml><?xml version="1.0" encoding="utf-8"?>
<sst xmlns="http://schemas.openxmlformats.org/spreadsheetml/2006/main" count="44" uniqueCount="44">
  <si>
    <t>Evaluation Form for Student Projects at RSL</t>
  </si>
  <si>
    <t>Name</t>
  </si>
  <si>
    <t>Dept. ETH or ext.</t>
  </si>
  <si>
    <t>MAVT</t>
  </si>
  <si>
    <t>Project Title</t>
  </si>
  <si>
    <t>Type of Project</t>
  </si>
  <si>
    <t>Supervisors</t>
  </si>
  <si>
    <t>1 (main)</t>
  </si>
  <si>
    <t>Weight</t>
  </si>
  <si>
    <t>Marks</t>
  </si>
  <si>
    <t>General</t>
  </si>
  <si>
    <t>Sup. 1</t>
  </si>
  <si>
    <t>Sup. 2</t>
  </si>
  <si>
    <t>Sup. 3</t>
  </si>
  <si>
    <t>Commitment, interest</t>
  </si>
  <si>
    <t>Methodology</t>
  </si>
  <si>
    <t>Autonomy</t>
  </si>
  <si>
    <t>Creativity, originality, personnel ideas</t>
  </si>
  <si>
    <t>Theory</t>
  </si>
  <si>
    <t>General understanding of the topic, literature review</t>
  </si>
  <si>
    <t>Implementation</t>
  </si>
  <si>
    <t>Appropriateness of the technique/methodology used</t>
  </si>
  <si>
    <t>Documentation and reusability of hard- and software system resp. results in terms of methods or processes</t>
  </si>
  <si>
    <t>Report</t>
  </si>
  <si>
    <t>Structure, presentation</t>
  </si>
  <si>
    <t>Accuracy, clarity</t>
  </si>
  <si>
    <t>Completeness</t>
  </si>
  <si>
    <t>Presentation</t>
  </si>
  <si>
    <t>Problem formulation, motivation</t>
  </si>
  <si>
    <t>Presentation of the essential</t>
  </si>
  <si>
    <t>Quality of the means of presentation (slides, videos, demos)</t>
  </si>
  <si>
    <t>Oral presentation, clarity</t>
  </si>
  <si>
    <t>Evaluation mark of the supervisors</t>
  </si>
  <si>
    <t>Mean value of the supervisors' evaluation</t>
  </si>
  <si>
    <t>Final mark proposed by the supervisors</t>
  </si>
  <si>
    <t>This work is planned to be submitted for publication:</t>
  </si>
  <si>
    <t>If yes, provide venue and deadline:</t>
  </si>
  <si>
    <t>If yes, describe the clear innovation beyond SOA, the excellence of results, and the expected work before submission:</t>
  </si>
  <si>
    <t>Justification for Grade (mandatory)</t>
  </si>
  <si>
    <t>Alejandro Torrents Rufas</t>
  </si>
  <si>
    <t>Cédric Grieder</t>
  </si>
  <si>
    <t>Cloud-Aware Learning-Based Attitude Control for Rainforest Earth Observation</t>
  </si>
  <si>
    <t>Semester Project</t>
  </si>
  <si>
    <t>Prof. Dr. Marco Hutter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</si>
</sst>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Calibri"/>
      <scheme val="minor"/>
    </font>
    <font>
      <sz val="10"/>
      <color rgb="FF000000"/>
      <name val="Arial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name val="Calibri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8"/>
      <color theme="1"/>
      <name val="Calibri"/>
      <scheme val="minor"/>
    </font>
    <font>
      <b/>
      <sz val="10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</fills>
  <borders count="2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/>
    </xf>
    <xf numFmtId="2" fontId="3" fillId="4" borderId="11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2" fontId="3" fillId="2" borderId="12" xfId="0" applyNumberFormat="1" applyFont="1" applyFill="1" applyBorder="1" applyAlignment="1">
      <alignment horizontal="center"/>
    </xf>
    <xf numFmtId="2" fontId="3" fillId="2" borderId="13" xfId="0" applyNumberFormat="1" applyFont="1" applyFill="1" applyBorder="1" applyAlignment="1">
      <alignment horizontal="center"/>
    </xf>
    <xf numFmtId="2" fontId="3" fillId="4" borderId="12" xfId="0" applyNumberFormat="1" applyFont="1" applyFill="1" applyBorder="1" applyAlignment="1">
      <alignment horizontal="center"/>
    </xf>
    <xf numFmtId="2" fontId="3" fillId="4" borderId="13" xfId="0" applyNumberFormat="1" applyFont="1" applyFill="1" applyBorder="1" applyAlignment="1">
      <alignment horizontal="center"/>
    </xf>
    <xf numFmtId="0" fontId="9" fillId="0" borderId="0" xfId="0" applyFont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center"/>
    </xf>
    <xf numFmtId="2" fontId="3" fillId="4" borderId="1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0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  <xf numFmtId="0" fontId="3" fillId="2" borderId="1" xfId="0" applyFont="1" applyFill="1" applyBorder="1"/>
    <xf numFmtId="0" fontId="5" fillId="0" borderId="2" xfId="0" applyFont="1" applyBorder="1"/>
    <xf numFmtId="0" fontId="3" fillId="2" borderId="3" xfId="0" applyFont="1" applyFill="1" applyBorder="1"/>
    <xf numFmtId="0" fontId="5" fillId="0" borderId="4" xfId="0" applyFont="1" applyBorder="1"/>
    <xf numFmtId="0" fontId="3" fillId="2" borderId="3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8" fillId="0" borderId="0" xfId="0" applyFont="1"/>
    <xf numFmtId="0" fontId="3" fillId="2" borderId="5" xfId="0" applyFont="1" applyFill="1" applyBorder="1"/>
    <xf numFmtId="0" fontId="5" fillId="0" borderId="6" xfId="0" applyFont="1" applyBorder="1"/>
    <xf numFmtId="0" fontId="6" fillId="0" borderId="0" xfId="0" applyFont="1" applyAlignment="1">
      <alignment horizontal="center"/>
    </xf>
    <xf numFmtId="0" fontId="9" fillId="3" borderId="7" xfId="0" applyFont="1" applyFill="1" applyBorder="1" applyAlignment="1">
      <alignment vertical="center"/>
    </xf>
    <xf numFmtId="0" fontId="5" fillId="0" borderId="8" xfId="0" applyFont="1" applyBorder="1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2" fontId="3" fillId="5" borderId="7" xfId="0" applyNumberFormat="1" applyFont="1" applyFill="1" applyBorder="1" applyAlignment="1">
      <alignment horizontal="center"/>
    </xf>
    <xf numFmtId="2" fontId="4" fillId="4" borderId="18" xfId="0" applyNumberFormat="1" applyFont="1" applyFill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3" fillId="2" borderId="21" xfId="0" applyFont="1" applyFill="1" applyBorder="1" applyAlignment="1">
      <alignment vertical="top" wrapText="1"/>
    </xf>
    <xf numFmtId="0" fontId="5" fillId="0" borderId="22" xfId="0" applyFont="1" applyBorder="1"/>
    <xf numFmtId="0" fontId="5" fillId="0" borderId="23" xfId="0" applyFont="1" applyBorder="1"/>
    <xf numFmtId="0" fontId="3" fillId="2" borderId="7" xfId="0" applyFont="1" applyFill="1" applyBorder="1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39</xdr:row>
      <xdr:rowOff>342900</xdr:rowOff>
    </xdr:from>
    <xdr:ext cx="36195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69788" y="3689513"/>
          <a:ext cx="352425" cy="180975"/>
        </a:xfrm>
        <a:prstGeom prst="rightArrow">
          <a:avLst>
            <a:gd name="adj1" fmla="val 39600"/>
            <a:gd name="adj2" fmla="val 59728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47625</xdr:colOff>
      <xdr:row>0</xdr:row>
      <xdr:rowOff>342900</xdr:rowOff>
    </xdr:from>
    <xdr:ext cx="1666875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247650</xdr:rowOff>
    </xdr:from>
    <xdr:ext cx="1466850" cy="5905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topLeftCell="A14" workbookViewId="0">
      <selection activeCell="J42" sqref="J42"/>
    </sheetView>
  </sheetViews>
  <sheetFormatPr defaultColWidth="14.44140625" defaultRowHeight="15" customHeight="1" x14ac:dyDescent="0.3"/>
  <cols>
    <col min="1" max="1" width="12.33203125" customWidth="1"/>
    <col min="2" max="2" width="9.88671875" customWidth="1"/>
    <col min="3" max="3" width="24.88671875" customWidth="1"/>
    <col min="4" max="4" width="1.5546875" customWidth="1"/>
    <col min="5" max="5" width="10.109375" customWidth="1"/>
    <col min="6" max="6" width="1.5546875" customWidth="1"/>
    <col min="7" max="9" width="10.109375" customWidth="1"/>
    <col min="10" max="26" width="17.33203125" customWidth="1"/>
  </cols>
  <sheetData>
    <row r="1" spans="1:9" ht="65.25" customHeight="1" x14ac:dyDescent="0.3">
      <c r="A1" s="32"/>
      <c r="B1" s="33"/>
      <c r="C1" s="33"/>
      <c r="D1" s="1"/>
      <c r="E1" s="1"/>
      <c r="F1" s="1"/>
      <c r="G1" s="32"/>
      <c r="H1" s="33"/>
      <c r="I1" s="33"/>
    </row>
    <row r="2" spans="1:9" ht="22.5" customHeight="1" x14ac:dyDescent="0.3">
      <c r="A2" s="2" t="s">
        <v>0</v>
      </c>
      <c r="B2" s="3"/>
      <c r="C2" s="1"/>
      <c r="D2" s="1"/>
      <c r="E2" s="1"/>
      <c r="F2" s="1"/>
      <c r="G2" s="1"/>
      <c r="H2" s="1"/>
      <c r="I2" s="1"/>
    </row>
    <row r="3" spans="1:9" ht="11.2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3">
      <c r="A4" s="34" t="s">
        <v>1</v>
      </c>
      <c r="B4" s="33"/>
      <c r="C4" s="35" t="s">
        <v>40</v>
      </c>
      <c r="D4" s="36"/>
      <c r="E4" s="36"/>
      <c r="F4" s="36"/>
      <c r="G4" s="36"/>
      <c r="H4" s="36"/>
      <c r="I4" s="36"/>
    </row>
    <row r="5" spans="1:9" ht="15.75" customHeight="1" x14ac:dyDescent="0.3">
      <c r="A5" s="34" t="s">
        <v>2</v>
      </c>
      <c r="B5" s="33"/>
      <c r="C5" s="37" t="s">
        <v>3</v>
      </c>
      <c r="D5" s="38"/>
      <c r="E5" s="38"/>
      <c r="F5" s="38"/>
      <c r="G5" s="38"/>
      <c r="H5" s="38"/>
      <c r="I5" s="38"/>
    </row>
    <row r="6" spans="1:9" ht="15.75" customHeight="1" x14ac:dyDescent="0.3">
      <c r="A6" s="34" t="s">
        <v>4</v>
      </c>
      <c r="B6" s="33"/>
      <c r="C6" s="39" t="s">
        <v>41</v>
      </c>
      <c r="D6" s="38"/>
      <c r="E6" s="38"/>
      <c r="F6" s="38"/>
      <c r="G6" s="38"/>
      <c r="H6" s="38"/>
      <c r="I6" s="38"/>
    </row>
    <row r="7" spans="1:9" ht="15.75" customHeight="1" x14ac:dyDescent="0.3">
      <c r="A7" s="34" t="s">
        <v>5</v>
      </c>
      <c r="B7" s="33"/>
      <c r="C7" s="42" t="s">
        <v>42</v>
      </c>
      <c r="D7" s="43"/>
      <c r="E7" s="43"/>
      <c r="F7" s="43"/>
      <c r="G7" s="43"/>
      <c r="H7" s="43"/>
      <c r="I7" s="43"/>
    </row>
    <row r="8" spans="1:9" ht="7.5" customHeight="1" x14ac:dyDescent="0.3">
      <c r="A8" s="1"/>
      <c r="B8" s="1"/>
      <c r="C8" s="1"/>
      <c r="D8" s="1"/>
      <c r="E8" s="1"/>
      <c r="F8" s="1"/>
      <c r="G8" s="1"/>
      <c r="H8" s="1"/>
      <c r="I8" s="1"/>
    </row>
    <row r="9" spans="1:9" ht="15.75" customHeight="1" x14ac:dyDescent="0.3">
      <c r="A9" s="40" t="s">
        <v>6</v>
      </c>
      <c r="B9" s="5" t="s">
        <v>7</v>
      </c>
      <c r="C9" s="42" t="s">
        <v>43</v>
      </c>
      <c r="D9" s="43"/>
      <c r="E9" s="43"/>
      <c r="F9" s="43"/>
      <c r="G9" s="43"/>
      <c r="H9" s="43"/>
      <c r="I9" s="43"/>
    </row>
    <row r="10" spans="1:9" ht="15.75" customHeight="1" x14ac:dyDescent="0.3">
      <c r="A10" s="33"/>
      <c r="B10" s="5">
        <v>2</v>
      </c>
      <c r="C10" s="37" t="s">
        <v>39</v>
      </c>
      <c r="D10" s="38"/>
      <c r="E10" s="38"/>
      <c r="F10" s="38"/>
      <c r="G10" s="38"/>
      <c r="H10" s="38"/>
      <c r="I10" s="38"/>
    </row>
    <row r="11" spans="1:9" ht="15.75" customHeight="1" x14ac:dyDescent="0.3">
      <c r="A11" s="33"/>
      <c r="B11" s="5">
        <v>3</v>
      </c>
      <c r="C11" s="42"/>
      <c r="D11" s="43"/>
      <c r="E11" s="43"/>
      <c r="F11" s="43"/>
      <c r="G11" s="43"/>
      <c r="H11" s="43"/>
      <c r="I11" s="43"/>
    </row>
    <row r="12" spans="1:9" ht="7.5" customHeigh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ht="15.75" customHeight="1" x14ac:dyDescent="0.3">
      <c r="A13" s="1"/>
      <c r="B13" s="1"/>
      <c r="C13" s="1"/>
      <c r="D13" s="1"/>
      <c r="E13" s="6" t="s">
        <v>8</v>
      </c>
      <c r="F13" s="7"/>
      <c r="G13" s="44" t="s">
        <v>9</v>
      </c>
      <c r="H13" s="33"/>
      <c r="I13" s="33"/>
    </row>
    <row r="14" spans="1:9" ht="15.75" customHeight="1" x14ac:dyDescent="0.3">
      <c r="A14" s="41" t="s">
        <v>10</v>
      </c>
      <c r="B14" s="33"/>
      <c r="C14" s="33"/>
      <c r="D14" s="1"/>
      <c r="E14" s="1"/>
      <c r="F14" s="6"/>
      <c r="G14" s="6" t="s">
        <v>11</v>
      </c>
      <c r="H14" s="6" t="s">
        <v>12</v>
      </c>
      <c r="I14" s="6" t="s">
        <v>13</v>
      </c>
    </row>
    <row r="15" spans="1:9" ht="15.75" customHeight="1" x14ac:dyDescent="0.3">
      <c r="A15" s="45" t="s">
        <v>14</v>
      </c>
      <c r="B15" s="46"/>
      <c r="C15" s="46"/>
      <c r="D15" s="9"/>
      <c r="E15" s="10">
        <v>9</v>
      </c>
      <c r="F15" s="11"/>
      <c r="G15" s="12"/>
      <c r="H15" s="12">
        <v>5.5</v>
      </c>
      <c r="I15" s="13"/>
    </row>
    <row r="16" spans="1:9" ht="15.75" customHeight="1" x14ac:dyDescent="0.3">
      <c r="A16" s="47" t="s">
        <v>15</v>
      </c>
      <c r="B16" s="33"/>
      <c r="C16" s="33"/>
      <c r="D16" s="14"/>
      <c r="E16" s="11">
        <v>5</v>
      </c>
      <c r="F16" s="11"/>
      <c r="G16" s="15"/>
      <c r="H16" s="15">
        <v>5</v>
      </c>
      <c r="I16" s="16"/>
    </row>
    <row r="17" spans="1:9" ht="15.75" customHeight="1" x14ac:dyDescent="0.3">
      <c r="A17" s="45" t="s">
        <v>16</v>
      </c>
      <c r="B17" s="46"/>
      <c r="C17" s="46"/>
      <c r="D17" s="9"/>
      <c r="E17" s="10">
        <v>7</v>
      </c>
      <c r="F17" s="11"/>
      <c r="G17" s="17"/>
      <c r="H17" s="17">
        <v>5.75</v>
      </c>
      <c r="I17" s="18"/>
    </row>
    <row r="18" spans="1:9" ht="15.75" customHeight="1" x14ac:dyDescent="0.3">
      <c r="A18" s="47" t="s">
        <v>17</v>
      </c>
      <c r="B18" s="33"/>
      <c r="C18" s="33"/>
      <c r="D18" s="14"/>
      <c r="E18" s="11">
        <v>7</v>
      </c>
      <c r="F18" s="11"/>
      <c r="G18" s="15"/>
      <c r="H18" s="15">
        <v>5</v>
      </c>
      <c r="I18" s="16"/>
    </row>
    <row r="19" spans="1:9" ht="15.75" customHeight="1" x14ac:dyDescent="0.3">
      <c r="A19" s="45" t="s">
        <v>18</v>
      </c>
      <c r="B19" s="46"/>
      <c r="C19" s="46"/>
      <c r="D19" s="9"/>
      <c r="E19" s="10">
        <v>7</v>
      </c>
      <c r="F19" s="11"/>
      <c r="G19" s="17"/>
      <c r="H19" s="17">
        <v>4.75</v>
      </c>
      <c r="I19" s="18"/>
    </row>
    <row r="20" spans="1:9" ht="15.75" customHeight="1" x14ac:dyDescent="0.3">
      <c r="A20" s="48" t="s">
        <v>19</v>
      </c>
      <c r="B20" s="33"/>
      <c r="C20" s="33"/>
      <c r="D20" s="19"/>
      <c r="E20" s="20">
        <v>5</v>
      </c>
      <c r="F20" s="11"/>
      <c r="G20" s="21"/>
      <c r="H20" s="21">
        <v>4.75</v>
      </c>
      <c r="I20" s="22"/>
    </row>
    <row r="21" spans="1:9" ht="15.75" customHeight="1" x14ac:dyDescent="0.3">
      <c r="A21" s="23"/>
      <c r="B21" s="23"/>
      <c r="C21" s="23"/>
      <c r="D21" s="23"/>
      <c r="E21" s="24">
        <f>SUM(E15:E20)</f>
        <v>40</v>
      </c>
      <c r="F21" s="11"/>
      <c r="G21" s="25">
        <f t="shared" ref="G21:I21" si="0">($E15*G15+$E16*G16+$E17*G17+$E18*G18+$E19*G19+$E20*G20)/$E21</f>
        <v>0</v>
      </c>
      <c r="H21" s="25">
        <f t="shared" si="0"/>
        <v>5.1687500000000002</v>
      </c>
      <c r="I21" s="25">
        <f t="shared" si="0"/>
        <v>0</v>
      </c>
    </row>
    <row r="22" spans="1:9" ht="22.5" customHeight="1" x14ac:dyDescent="0.3">
      <c r="A22" s="41" t="s">
        <v>20</v>
      </c>
      <c r="B22" s="33"/>
      <c r="C22" s="33"/>
      <c r="D22" s="8"/>
      <c r="E22" s="23"/>
      <c r="F22" s="23"/>
      <c r="G22" s="1"/>
      <c r="H22" s="1"/>
      <c r="I22" s="1"/>
    </row>
    <row r="23" spans="1:9" ht="15.75" customHeight="1" x14ac:dyDescent="0.3">
      <c r="A23" s="45" t="s">
        <v>21</v>
      </c>
      <c r="B23" s="46"/>
      <c r="C23" s="46"/>
      <c r="D23" s="9"/>
      <c r="E23" s="10">
        <v>10</v>
      </c>
      <c r="F23" s="11"/>
      <c r="G23" s="12"/>
      <c r="H23" s="12">
        <v>5</v>
      </c>
      <c r="I23" s="13"/>
    </row>
    <row r="24" spans="1:9" ht="15.75" customHeight="1" x14ac:dyDescent="0.3">
      <c r="A24" s="48" t="s">
        <v>22</v>
      </c>
      <c r="B24" s="33"/>
      <c r="C24" s="33"/>
      <c r="D24" s="19"/>
      <c r="E24" s="11">
        <v>10</v>
      </c>
      <c r="F24" s="11"/>
      <c r="G24" s="21"/>
      <c r="H24" s="21">
        <v>5.25</v>
      </c>
      <c r="I24" s="22"/>
    </row>
    <row r="25" spans="1:9" ht="15.75" customHeight="1" x14ac:dyDescent="0.3">
      <c r="A25" s="23"/>
      <c r="B25" s="23"/>
      <c r="C25" s="23"/>
      <c r="D25" s="23"/>
      <c r="E25" s="26">
        <f>SUM(E23:E24)</f>
        <v>20</v>
      </c>
      <c r="F25" s="11"/>
      <c r="G25" s="25">
        <f t="shared" ref="G25:I25" si="1">($E23*G23+$E24*G24)/$E25</f>
        <v>0</v>
      </c>
      <c r="H25" s="25">
        <f t="shared" si="1"/>
        <v>5.125</v>
      </c>
      <c r="I25" s="25">
        <f t="shared" si="1"/>
        <v>0</v>
      </c>
    </row>
    <row r="26" spans="1:9" ht="22.5" customHeight="1" x14ac:dyDescent="0.3">
      <c r="A26" s="41" t="s">
        <v>23</v>
      </c>
      <c r="B26" s="33"/>
      <c r="C26" s="33"/>
      <c r="D26" s="8"/>
      <c r="E26" s="23"/>
      <c r="F26" s="23"/>
      <c r="G26" s="1"/>
      <c r="H26" s="1"/>
      <c r="I26" s="1"/>
    </row>
    <row r="27" spans="1:9" ht="15.75" customHeight="1" x14ac:dyDescent="0.3">
      <c r="A27" s="45" t="s">
        <v>24</v>
      </c>
      <c r="B27" s="46"/>
      <c r="C27" s="46"/>
      <c r="D27" s="9"/>
      <c r="E27" s="10">
        <v>7</v>
      </c>
      <c r="F27" s="11"/>
      <c r="G27" s="12"/>
      <c r="H27" s="12">
        <v>5.25</v>
      </c>
      <c r="I27" s="13"/>
    </row>
    <row r="28" spans="1:9" ht="15.75" customHeight="1" x14ac:dyDescent="0.3">
      <c r="A28" s="47" t="s">
        <v>25</v>
      </c>
      <c r="B28" s="33"/>
      <c r="C28" s="33"/>
      <c r="D28" s="14"/>
      <c r="E28" s="11">
        <v>8</v>
      </c>
      <c r="F28" s="11"/>
      <c r="G28" s="15"/>
      <c r="H28" s="15">
        <v>5.25</v>
      </c>
      <c r="I28" s="16"/>
    </row>
    <row r="29" spans="1:9" ht="15.75" customHeight="1" x14ac:dyDescent="0.3">
      <c r="A29" s="45" t="s">
        <v>26</v>
      </c>
      <c r="B29" s="46"/>
      <c r="C29" s="46"/>
      <c r="D29" s="9"/>
      <c r="E29" s="10">
        <v>5</v>
      </c>
      <c r="F29" s="11"/>
      <c r="G29" s="27"/>
      <c r="H29" s="27">
        <v>5</v>
      </c>
      <c r="I29" s="28"/>
    </row>
    <row r="30" spans="1:9" ht="15.75" customHeight="1" x14ac:dyDescent="0.3">
      <c r="A30" s="23"/>
      <c r="B30" s="23"/>
      <c r="C30" s="23"/>
      <c r="D30" s="23"/>
      <c r="E30" s="26">
        <f>SUM(E27:E29)</f>
        <v>20</v>
      </c>
      <c r="F30" s="11"/>
      <c r="G30" s="25">
        <f t="shared" ref="G30:I30" si="2">($E27*G27+$E28*G28+$E29*G29)/$E30</f>
        <v>0</v>
      </c>
      <c r="H30" s="25">
        <f t="shared" si="2"/>
        <v>5.1875</v>
      </c>
      <c r="I30" s="25">
        <f t="shared" si="2"/>
        <v>0</v>
      </c>
    </row>
    <row r="31" spans="1:9" ht="22.5" customHeight="1" x14ac:dyDescent="0.3">
      <c r="A31" s="41" t="s">
        <v>27</v>
      </c>
      <c r="B31" s="33"/>
      <c r="C31" s="33"/>
      <c r="D31" s="8"/>
      <c r="E31" s="23"/>
      <c r="F31" s="23"/>
      <c r="G31" s="1"/>
      <c r="H31" s="1"/>
      <c r="I31" s="1"/>
    </row>
    <row r="32" spans="1:9" ht="15.75" customHeight="1" x14ac:dyDescent="0.3">
      <c r="A32" s="45" t="s">
        <v>28</v>
      </c>
      <c r="B32" s="46"/>
      <c r="C32" s="46"/>
      <c r="D32" s="9"/>
      <c r="E32" s="10">
        <v>4</v>
      </c>
      <c r="F32" s="11"/>
      <c r="G32" s="12"/>
      <c r="H32" s="12">
        <v>4.5</v>
      </c>
      <c r="I32" s="13"/>
    </row>
    <row r="33" spans="1:9" ht="15.75" customHeight="1" x14ac:dyDescent="0.3">
      <c r="A33" s="47" t="s">
        <v>29</v>
      </c>
      <c r="B33" s="33"/>
      <c r="C33" s="33"/>
      <c r="D33" s="14"/>
      <c r="E33" s="11">
        <v>6</v>
      </c>
      <c r="F33" s="11"/>
      <c r="G33" s="15"/>
      <c r="H33" s="15">
        <v>4.75</v>
      </c>
      <c r="I33" s="16"/>
    </row>
    <row r="34" spans="1:9" ht="15.75" customHeight="1" x14ac:dyDescent="0.3">
      <c r="A34" s="45" t="s">
        <v>30</v>
      </c>
      <c r="B34" s="46"/>
      <c r="C34" s="46"/>
      <c r="D34" s="9"/>
      <c r="E34" s="10">
        <v>5</v>
      </c>
      <c r="F34" s="11"/>
      <c r="G34" s="17"/>
      <c r="H34" s="17">
        <v>5.5</v>
      </c>
      <c r="I34" s="18"/>
    </row>
    <row r="35" spans="1:9" ht="15.75" customHeight="1" x14ac:dyDescent="0.3">
      <c r="A35" s="47" t="s">
        <v>31</v>
      </c>
      <c r="B35" s="33"/>
      <c r="C35" s="33"/>
      <c r="D35" s="14"/>
      <c r="E35" s="11">
        <v>5</v>
      </c>
      <c r="F35" s="11"/>
      <c r="G35" s="21"/>
      <c r="H35" s="21">
        <v>5</v>
      </c>
      <c r="I35" s="22"/>
    </row>
    <row r="36" spans="1:9" ht="15.75" customHeight="1" x14ac:dyDescent="0.3">
      <c r="A36" s="23"/>
      <c r="B36" s="23"/>
      <c r="C36" s="23"/>
      <c r="D36" s="23"/>
      <c r="E36" s="26">
        <f>SUM(E32:E35)</f>
        <v>20</v>
      </c>
      <c r="F36" s="11"/>
      <c r="G36" s="25">
        <f t="shared" ref="G36:I36" si="3">($E32*G32+$E33*G33+$E34*G34+$E35*G35)/$E36</f>
        <v>0</v>
      </c>
      <c r="H36" s="25">
        <f t="shared" si="3"/>
        <v>4.95</v>
      </c>
      <c r="I36" s="25">
        <f t="shared" si="3"/>
        <v>0</v>
      </c>
    </row>
    <row r="37" spans="1:9" ht="7.5" customHeight="1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3">
      <c r="A38" s="3" t="s">
        <v>32</v>
      </c>
      <c r="B38" s="1"/>
      <c r="C38" s="1"/>
      <c r="D38" s="1"/>
      <c r="E38" s="29">
        <f>SUM(E21,E25,E30,E36)</f>
        <v>100</v>
      </c>
      <c r="F38" s="1"/>
      <c r="G38" s="30">
        <f t="shared" ref="G38:I38" si="4">($E21*G21+$E25*G25+$E30*G30+$E36*G36)/$E38</f>
        <v>0</v>
      </c>
      <c r="H38" s="30">
        <f t="shared" si="4"/>
        <v>5.12</v>
      </c>
      <c r="I38" s="30">
        <f t="shared" si="4"/>
        <v>0</v>
      </c>
    </row>
    <row r="39" spans="1:9" ht="7.5" customHeight="1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 x14ac:dyDescent="0.3">
      <c r="A40" s="3" t="s">
        <v>33</v>
      </c>
      <c r="B40" s="1"/>
      <c r="C40" s="1"/>
      <c r="D40" s="1"/>
      <c r="E40" s="1"/>
      <c r="F40" s="1"/>
      <c r="G40" s="49">
        <f>H38</f>
        <v>5.12</v>
      </c>
      <c r="H40" s="46"/>
      <c r="I40" s="46"/>
    </row>
    <row r="41" spans="1:9" ht="7.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 x14ac:dyDescent="0.3">
      <c r="A42" s="4" t="s">
        <v>34</v>
      </c>
      <c r="B42" s="1"/>
      <c r="C42" s="1"/>
      <c r="D42" s="1"/>
      <c r="E42" s="1"/>
      <c r="F42" s="1"/>
      <c r="G42" s="50">
        <f>MROUND(G40,1/4)</f>
        <v>5</v>
      </c>
      <c r="H42" s="51"/>
      <c r="I42" s="52"/>
    </row>
    <row r="43" spans="1:9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3">
      <c r="A44" s="31" t="s">
        <v>35</v>
      </c>
      <c r="B44" s="31"/>
      <c r="C44" s="1"/>
      <c r="D44" s="1"/>
      <c r="E44" s="1"/>
      <c r="F44" s="1"/>
      <c r="G44" s="1"/>
      <c r="H44" s="1"/>
      <c r="I44" s="1"/>
    </row>
    <row r="45" spans="1:9" ht="15.75" customHeight="1" x14ac:dyDescent="0.3">
      <c r="A45" s="31" t="s">
        <v>36</v>
      </c>
      <c r="B45" s="31"/>
      <c r="C45" s="1"/>
      <c r="D45" s="1"/>
      <c r="E45" s="1"/>
      <c r="F45" s="1"/>
      <c r="G45" s="1"/>
      <c r="H45" s="1"/>
      <c r="I45" s="1"/>
    </row>
    <row r="46" spans="1:9" ht="15.75" customHeight="1" x14ac:dyDescent="0.3">
      <c r="A46" s="31" t="s">
        <v>37</v>
      </c>
      <c r="B46" s="31"/>
      <c r="C46" s="1"/>
      <c r="D46" s="1"/>
      <c r="E46" s="1"/>
      <c r="F46" s="1"/>
      <c r="G46" s="1"/>
      <c r="H46" s="1"/>
      <c r="I46" s="1"/>
    </row>
    <row r="47" spans="1:9" ht="81" customHeight="1" x14ac:dyDescent="0.3">
      <c r="A47" s="57"/>
      <c r="B47" s="33"/>
      <c r="C47" s="33"/>
      <c r="D47" s="33"/>
      <c r="E47" s="33"/>
      <c r="F47" s="33"/>
      <c r="G47" s="33"/>
      <c r="H47" s="33"/>
      <c r="I47" s="33"/>
    </row>
    <row r="48" spans="1:9" ht="15.75" customHeight="1" x14ac:dyDescent="0.3">
      <c r="A48" s="4" t="s">
        <v>38</v>
      </c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3">
      <c r="A49" s="53"/>
      <c r="B49" s="54"/>
      <c r="C49" s="54"/>
      <c r="D49" s="54"/>
      <c r="E49" s="54"/>
      <c r="F49" s="54"/>
      <c r="G49" s="54"/>
      <c r="H49" s="54"/>
      <c r="I49" s="54"/>
    </row>
    <row r="50" spans="1:9" ht="15.75" customHeight="1" x14ac:dyDescent="0.3">
      <c r="A50" s="55"/>
      <c r="B50" s="33"/>
      <c r="C50" s="33"/>
      <c r="D50" s="33"/>
      <c r="E50" s="33"/>
      <c r="F50" s="33"/>
      <c r="G50" s="33"/>
      <c r="H50" s="33"/>
      <c r="I50" s="33"/>
    </row>
    <row r="51" spans="1:9" ht="15.75" customHeight="1" x14ac:dyDescent="0.3">
      <c r="A51" s="55"/>
      <c r="B51" s="33"/>
      <c r="C51" s="33"/>
      <c r="D51" s="33"/>
      <c r="E51" s="33"/>
      <c r="F51" s="33"/>
      <c r="G51" s="33"/>
      <c r="H51" s="33"/>
      <c r="I51" s="33"/>
    </row>
    <row r="52" spans="1:9" ht="15.75" customHeight="1" x14ac:dyDescent="0.3">
      <c r="A52" s="55"/>
      <c r="B52" s="33"/>
      <c r="C52" s="33"/>
      <c r="D52" s="33"/>
      <c r="E52" s="33"/>
      <c r="F52" s="33"/>
      <c r="G52" s="33"/>
      <c r="H52" s="33"/>
      <c r="I52" s="33"/>
    </row>
    <row r="53" spans="1:9" ht="15.75" customHeight="1" x14ac:dyDescent="0.3">
      <c r="A53" s="55"/>
      <c r="B53" s="33"/>
      <c r="C53" s="33"/>
      <c r="D53" s="33"/>
      <c r="E53" s="33"/>
      <c r="F53" s="33"/>
      <c r="G53" s="33"/>
      <c r="H53" s="33"/>
      <c r="I53" s="33"/>
    </row>
    <row r="54" spans="1:9" ht="15.75" customHeight="1" x14ac:dyDescent="0.3">
      <c r="A54" s="55"/>
      <c r="B54" s="33"/>
      <c r="C54" s="33"/>
      <c r="D54" s="33"/>
      <c r="E54" s="33"/>
      <c r="F54" s="33"/>
      <c r="G54" s="33"/>
      <c r="H54" s="33"/>
      <c r="I54" s="33"/>
    </row>
    <row r="55" spans="1:9" ht="15.75" customHeight="1" x14ac:dyDescent="0.3">
      <c r="A55" s="55"/>
      <c r="B55" s="33"/>
      <c r="C55" s="33"/>
      <c r="D55" s="33"/>
      <c r="E55" s="33"/>
      <c r="F55" s="33"/>
      <c r="G55" s="33"/>
      <c r="H55" s="33"/>
      <c r="I55" s="33"/>
    </row>
    <row r="56" spans="1:9" ht="15.75" customHeight="1" x14ac:dyDescent="0.3">
      <c r="A56" s="55"/>
      <c r="B56" s="33"/>
      <c r="C56" s="33"/>
      <c r="D56" s="33"/>
      <c r="E56" s="33"/>
      <c r="F56" s="33"/>
      <c r="G56" s="33"/>
      <c r="H56" s="33"/>
      <c r="I56" s="33"/>
    </row>
    <row r="57" spans="1:9" ht="15.75" customHeight="1" x14ac:dyDescent="0.3">
      <c r="A57" s="55"/>
      <c r="B57" s="33"/>
      <c r="C57" s="33"/>
      <c r="D57" s="33"/>
      <c r="E57" s="33"/>
      <c r="F57" s="33"/>
      <c r="G57" s="33"/>
      <c r="H57" s="33"/>
      <c r="I57" s="33"/>
    </row>
    <row r="58" spans="1:9" ht="15.75" customHeight="1" x14ac:dyDescent="0.3">
      <c r="A58" s="55"/>
      <c r="B58" s="33"/>
      <c r="C58" s="33"/>
      <c r="D58" s="33"/>
      <c r="E58" s="33"/>
      <c r="F58" s="33"/>
      <c r="G58" s="33"/>
      <c r="H58" s="33"/>
      <c r="I58" s="33"/>
    </row>
    <row r="59" spans="1:9" ht="15.75" customHeight="1" x14ac:dyDescent="0.3">
      <c r="A59" s="55"/>
      <c r="B59" s="33"/>
      <c r="C59" s="33"/>
      <c r="D59" s="33"/>
      <c r="E59" s="33"/>
      <c r="F59" s="33"/>
      <c r="G59" s="33"/>
      <c r="H59" s="33"/>
      <c r="I59" s="33"/>
    </row>
    <row r="60" spans="1:9" ht="15.75" customHeight="1" x14ac:dyDescent="0.3">
      <c r="A60" s="55"/>
      <c r="B60" s="33"/>
      <c r="C60" s="33"/>
      <c r="D60" s="33"/>
      <c r="E60" s="33"/>
      <c r="F60" s="33"/>
      <c r="G60" s="33"/>
      <c r="H60" s="33"/>
      <c r="I60" s="33"/>
    </row>
    <row r="61" spans="1:9" ht="15.75" customHeight="1" x14ac:dyDescent="0.3">
      <c r="A61" s="55"/>
      <c r="B61" s="33"/>
      <c r="C61" s="33"/>
      <c r="D61" s="33"/>
      <c r="E61" s="33"/>
      <c r="F61" s="33"/>
      <c r="G61" s="33"/>
      <c r="H61" s="33"/>
      <c r="I61" s="33"/>
    </row>
    <row r="62" spans="1:9" ht="15.75" customHeight="1" x14ac:dyDescent="0.3">
      <c r="A62" s="55"/>
      <c r="B62" s="33"/>
      <c r="C62" s="33"/>
      <c r="D62" s="33"/>
      <c r="E62" s="33"/>
      <c r="F62" s="33"/>
      <c r="G62" s="33"/>
      <c r="H62" s="33"/>
      <c r="I62" s="33"/>
    </row>
    <row r="63" spans="1:9" ht="15.75" customHeight="1" x14ac:dyDescent="0.3">
      <c r="A63" s="55"/>
      <c r="B63" s="33"/>
      <c r="C63" s="33"/>
      <c r="D63" s="33"/>
      <c r="E63" s="33"/>
      <c r="F63" s="33"/>
      <c r="G63" s="33"/>
      <c r="H63" s="33"/>
      <c r="I63" s="33"/>
    </row>
    <row r="64" spans="1:9" ht="15.75" customHeight="1" x14ac:dyDescent="0.3">
      <c r="A64" s="55"/>
      <c r="B64" s="33"/>
      <c r="C64" s="33"/>
      <c r="D64" s="33"/>
      <c r="E64" s="33"/>
      <c r="F64" s="33"/>
      <c r="G64" s="33"/>
      <c r="H64" s="33"/>
      <c r="I64" s="33"/>
    </row>
    <row r="65" spans="1:9" ht="15.75" customHeight="1" x14ac:dyDescent="0.3">
      <c r="A65" s="55"/>
      <c r="B65" s="33"/>
      <c r="C65" s="33"/>
      <c r="D65" s="33"/>
      <c r="E65" s="33"/>
      <c r="F65" s="33"/>
      <c r="G65" s="33"/>
      <c r="H65" s="33"/>
      <c r="I65" s="33"/>
    </row>
    <row r="66" spans="1:9" ht="15.75" customHeight="1" x14ac:dyDescent="0.3">
      <c r="A66" s="55"/>
      <c r="B66" s="33"/>
      <c r="C66" s="33"/>
      <c r="D66" s="33"/>
      <c r="E66" s="33"/>
      <c r="F66" s="33"/>
      <c r="G66" s="33"/>
      <c r="H66" s="33"/>
      <c r="I66" s="33"/>
    </row>
    <row r="67" spans="1:9" ht="15.75" customHeight="1" x14ac:dyDescent="0.3">
      <c r="A67" s="55"/>
      <c r="B67" s="33"/>
      <c r="C67" s="33"/>
      <c r="D67" s="33"/>
      <c r="E67" s="33"/>
      <c r="F67" s="33"/>
      <c r="G67" s="33"/>
      <c r="H67" s="33"/>
      <c r="I67" s="33"/>
    </row>
    <row r="68" spans="1:9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3">
      <c r="A69" s="56"/>
      <c r="B69" s="46"/>
      <c r="C69" s="46"/>
      <c r="D69" s="46"/>
      <c r="E69" s="46"/>
      <c r="F69" s="46"/>
      <c r="G69" s="46"/>
      <c r="H69" s="46"/>
      <c r="I69" s="46"/>
    </row>
    <row r="70" spans="1:9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3"/>
    <row r="250" spans="1:9" ht="15.75" customHeight="1" x14ac:dyDescent="0.3"/>
    <row r="251" spans="1:9" ht="15.75" customHeight="1" x14ac:dyDescent="0.3"/>
    <row r="252" spans="1:9" ht="15.75" customHeight="1" x14ac:dyDescent="0.3"/>
    <row r="253" spans="1:9" ht="15.75" customHeight="1" x14ac:dyDescent="0.3"/>
    <row r="254" spans="1:9" ht="15.75" customHeight="1" x14ac:dyDescent="0.3"/>
    <row r="255" spans="1:9" ht="15.75" customHeight="1" x14ac:dyDescent="0.3"/>
    <row r="256" spans="1:9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39">
    <mergeCell ref="A33:C33"/>
    <mergeCell ref="A34:C34"/>
    <mergeCell ref="A27:C27"/>
    <mergeCell ref="A28:C28"/>
    <mergeCell ref="A29:C29"/>
    <mergeCell ref="A31:C31"/>
    <mergeCell ref="A32:C32"/>
    <mergeCell ref="A35:C35"/>
    <mergeCell ref="G40:I40"/>
    <mergeCell ref="G42:I42"/>
    <mergeCell ref="A49:I67"/>
    <mergeCell ref="A69:I69"/>
    <mergeCell ref="A47:I47"/>
    <mergeCell ref="A20:C20"/>
    <mergeCell ref="A22:C22"/>
    <mergeCell ref="A23:C23"/>
    <mergeCell ref="A24:C24"/>
    <mergeCell ref="A26:C26"/>
    <mergeCell ref="A15:C15"/>
    <mergeCell ref="A16:C16"/>
    <mergeCell ref="A17:C17"/>
    <mergeCell ref="A18:C18"/>
    <mergeCell ref="A19:C19"/>
    <mergeCell ref="C6:I6"/>
    <mergeCell ref="A6:B6"/>
    <mergeCell ref="A7:B7"/>
    <mergeCell ref="A9:A11"/>
    <mergeCell ref="A14:C14"/>
    <mergeCell ref="C7:I7"/>
    <mergeCell ref="C9:I9"/>
    <mergeCell ref="C10:I10"/>
    <mergeCell ref="C11:I11"/>
    <mergeCell ref="G13:I13"/>
    <mergeCell ref="A1:C1"/>
    <mergeCell ref="G1:I1"/>
    <mergeCell ref="A4:B4"/>
    <mergeCell ref="C4:I4"/>
    <mergeCell ref="A5:B5"/>
    <mergeCell ref="C5:I5"/>
  </mergeCells>
  <dataValidations count="1">
    <dataValidation type="list" allowBlank="1" showErrorMessage="1" sqref="G44" xr:uid="{00000000-0002-0000-0000-000000000000}">
      <formula1>"Yes,No"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836603109951843B65A813D06E4073A" ma:contentTypeVersion="14" ma:contentTypeDescription="Ein neues Dokument erstellen." ma:contentTypeScope="" ma:versionID="0464abfbe6e6cd5c5dc4f4365ef2b107">
  <xsd:schema xmlns:xsd="http://www.w3.org/2001/XMLSchema" xmlns:xs="http://www.w3.org/2001/XMLSchema" xmlns:p="http://schemas.microsoft.com/office/2006/metadata/properties" xmlns:ns3="3a054466-637b-4132-b55f-6b70403df2f6" xmlns:ns4="658a0950-b595-43c0-9c05-75e61f50a777" targetNamespace="http://schemas.microsoft.com/office/2006/metadata/properties" ma:root="true" ma:fieldsID="4be42dbcc628fdc826e4c66886f14cd5" ns3:_="" ns4:_="">
    <xsd:import namespace="3a054466-637b-4132-b55f-6b70403df2f6"/>
    <xsd:import namespace="658a0950-b595-43c0-9c05-75e61f50a7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54466-637b-4132-b55f-6b70403df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a0950-b595-43c0-9c05-75e61f50a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054466-637b-4132-b55f-6b70403df2f6" xsi:nil="true"/>
  </documentManagement>
</p:properties>
</file>

<file path=customXml/itemProps1.xml><?xml version="1.0" encoding="utf-8"?>
<ds:datastoreItem xmlns:ds="http://schemas.openxmlformats.org/officeDocument/2006/customXml" ds:itemID="{441CD923-3967-4A38-8AD5-F1A871A27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054466-637b-4132-b55f-6b70403df2f6"/>
    <ds:schemaRef ds:uri="658a0950-b595-43c0-9c05-75e61f50a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435086-4D5A-47B7-921D-1C58E7CD25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03010-1EBD-4949-8565-AC2B596C4D4A}">
  <ds:schemaRefs>
    <ds:schemaRef ds:uri="3a054466-637b-4132-b55f-6b70403df2f6"/>
    <ds:schemaRef ds:uri="http://schemas.microsoft.com/office/2006/metadata/properties"/>
    <ds:schemaRef ds:uri="http://www.w3.org/XML/1998/namespace"/>
    <ds:schemaRef ds:uri="658a0950-b595-43c0-9c05-75e61f50a777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Torrents Rufas</dc:creator>
  <cp:lastModifiedBy>Grieder  Cédric</cp:lastModifiedBy>
  <dcterms:created xsi:type="dcterms:W3CDTF">2026-07-21T11:31:34Z</dcterms:created>
  <dcterms:modified xsi:type="dcterms:W3CDTF">2026-07-23T02:07:15Z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0x0101003836603109951843B65A813D06E4073A</vt:lpwstr>
  </property>
</Properties>
</file>